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JA\Desktop\"/>
    </mc:Choice>
  </mc:AlternateContent>
  <xr:revisionPtr revIDLastSave="0" documentId="13_ncr:1_{AEE050A1-0082-4B87-928F-5786BB488C24}" xr6:coauthVersionLast="47" xr6:coauthVersionMax="47" xr10:uidLastSave="{00000000-0000-0000-0000-000000000000}"/>
  <bookViews>
    <workbookView xWindow="-120" yWindow="-120" windowWidth="20640" windowHeight="11760" xr2:uid="{4D73A66E-04F7-4EE0-B0A5-EABA6E46FDA2}"/>
  </bookViews>
  <sheets>
    <sheet name="DETAIL AUDIT" sheetId="6" r:id="rId1"/>
    <sheet name="ATTACH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6" l="1"/>
  <c r="D133" i="6"/>
  <c r="D155" i="6" s="1"/>
  <c r="D128" i="6"/>
  <c r="D127" i="6" s="1"/>
  <c r="D124" i="6"/>
  <c r="D102" i="6"/>
  <c r="D94" i="6"/>
  <c r="D87" i="6"/>
  <c r="D86" i="6"/>
  <c r="D154" i="6" s="1"/>
  <c r="D82" i="6"/>
  <c r="D76" i="6"/>
  <c r="D72" i="6"/>
  <c r="D71" i="6"/>
  <c r="D153" i="6" s="1"/>
  <c r="D66" i="6"/>
  <c r="D62" i="6"/>
  <c r="D55" i="6"/>
  <c r="D47" i="6"/>
  <c r="D46" i="6" s="1"/>
  <c r="D152" i="6" s="1"/>
  <c r="D39" i="6"/>
  <c r="D27" i="6"/>
  <c r="D22" i="6"/>
  <c r="D21" i="6" s="1"/>
  <c r="D18" i="6"/>
  <c r="D150" i="6" s="1"/>
  <c r="D11" i="6"/>
  <c r="D149" i="6" s="1"/>
  <c r="D151" i="6" l="1"/>
  <c r="D9" i="6"/>
  <c r="D2" i="6"/>
</calcChain>
</file>

<file path=xl/sharedStrings.xml><?xml version="1.0" encoding="utf-8"?>
<sst xmlns="http://schemas.openxmlformats.org/spreadsheetml/2006/main" count="156" uniqueCount="147">
  <si>
    <t>ENVIRONMENT</t>
  </si>
  <si>
    <t>ATTACHMENT</t>
  </si>
  <si>
    <t>AUDITOR</t>
  </si>
  <si>
    <t>FOOD SAFETY</t>
  </si>
  <si>
    <t>SCORE</t>
  </si>
  <si>
    <t>Professionalism &amp; Respect – Bersikap sopan, sabar, dan positif dalam berinteraksi dengan customer maupun rekan kerja, baik dari tutur kata maupun gerak-gerik.</t>
  </si>
  <si>
    <t>Beragam jenis laporan atau masukan dapat diajukan untuk meningkatkan kualitas toko dan mendorong perbaikan berkelanjutan.</t>
  </si>
  <si>
    <t>Other</t>
  </si>
  <si>
    <t>ETC</t>
  </si>
  <si>
    <t>STORE NAME</t>
  </si>
  <si>
    <t>DATE</t>
  </si>
  <si>
    <t>PIC ON DUTY</t>
  </si>
  <si>
    <t>DETAIL TO VERIFY</t>
  </si>
  <si>
    <t>REMARKS</t>
  </si>
  <si>
    <t>Uniform (bersih, tidak kusam, celana hitam bukan jeans)</t>
  </si>
  <si>
    <t>Makeup &amp; Wajah – Makeup natural dan profesional. Wajah bersih dan rapi.</t>
  </si>
  <si>
    <t>Aroma tubuh (tidak menyengat/memakai parfum)</t>
  </si>
  <si>
    <t>Tangan, jari bersih &amp; kuku pendek (rutin cuci tangan)</t>
  </si>
  <si>
    <t>PERSONAL GROOMING</t>
  </si>
  <si>
    <t>Kerapian Rambut – Rambut bersih, rapi, tidak menutupi wajah. Rambut panjang wajib diikat, jenggot/kumis dirapikan.</t>
  </si>
  <si>
    <t>SQUENCE OF SERVICE</t>
  </si>
  <si>
    <t>A. Greeting</t>
  </si>
  <si>
    <t>Greeting : "Welcome to Teazzi"</t>
  </si>
  <si>
    <t>B. Taking Order</t>
  </si>
  <si>
    <t>ATTITUDE</t>
  </si>
  <si>
    <t>Tepat Waktu Masuk Kerja – Karyawan wajib hadir sesuai jadwal tanpa keterlambatan.</t>
  </si>
  <si>
    <t>Tepat Waktu Setelah Istirahat – Karyawan wajib kembali dari break tepat waktu.</t>
  </si>
  <si>
    <t>CLEANLINESS</t>
  </si>
  <si>
    <t>Memberi Rekomendasi – Aktif membantu customer memilih menu sesuai preferensi.</t>
  </si>
  <si>
    <t>Upselling Topping – Menawarkan tambahan topping secara efektif.</t>
  </si>
  <si>
    <t>Upselling Produk Baru – Memperkenalkan dan menyarankan produk terbaru.</t>
  </si>
  <si>
    <t>Menawarkan Member – Menjelaskan manfaat dan mengajak customer untuk menjadi member.</t>
  </si>
  <si>
    <t>Penguasaan Produk – Memahami menu, bahan, dan keunggulan setiap produk dengan baik.</t>
  </si>
  <si>
    <t>Kecepatan Proses Pesanan – Ambil, siapkan, dan sajikan pesanan dengan cepat dan efisien.</t>
  </si>
  <si>
    <t>Manajemen Antrian – Kurangi waktu tunggu dengan alur kerja yang efektif.</t>
  </si>
  <si>
    <t>Respons ke Customer – Tanggapi permintaan customer dengan cepat dan tetap berkualitas.</t>
  </si>
  <si>
    <t>Akurasi Pesanan – Sajikan sesuai permintaan customer tanpa kesalahan.</t>
  </si>
  <si>
    <t>Ketepatan Transaksi – Proses pembayaran dengan benar, kembalian dan struk harus akurat.</t>
  </si>
  <si>
    <t>Aksesoris (Topi, Apron &amp; nametag)</t>
  </si>
  <si>
    <t>Eye Contact - Menatap dengan sopan saat hendak pengorderan</t>
  </si>
  <si>
    <t>C. Serving the Order</t>
  </si>
  <si>
    <t>Ketepatan Transaksi – Pastikan minuman dibuat dengan benar &amp; sesuai pesanan</t>
  </si>
  <si>
    <t>Gunakan 2 tangan dalam memberikan pesanan customer baik cup only atau dalam plastik</t>
  </si>
  <si>
    <t>Farewell Greeting - “Ini pesanan Kakak, terima kasih! Enjoy your tea!”</t>
  </si>
  <si>
    <t>Professionalsm &amp; Respect - Jika ada antrian atau bulk-order, beri estimasi waktu tunggu.  
– Jika ingin menginput orderan online, minta izin kepada customer terlebih dahulu.</t>
  </si>
  <si>
    <t>SMILE - Senyum tulus saat melayani customer</t>
  </si>
  <si>
    <t>Eye Contact - Menatap dengan sopan saat menyajikan menu</t>
  </si>
  <si>
    <t>Sajikan minuman sesuai urutan pesanan (First In, First Out).</t>
  </si>
  <si>
    <t>PRODUCT HANDLING</t>
  </si>
  <si>
    <t>A. Raw Material</t>
  </si>
  <si>
    <t>Ketersediaan Produk – Pastikan semua teh dan topping tersedia, tidak ada yang kosong.</t>
  </si>
  <si>
    <t>Penyimpanan Topping – Simpan topping di chiller setelah dipakai, pastikan wadah bersih.</t>
  </si>
  <si>
    <t>Kebersihan Bahan Baku – Semua bahan baku harus ditutup rapat.</t>
  </si>
  <si>
    <t>FIFO – Gunakan bahan baku sesuai urutan masuk (First In, First Out).</t>
  </si>
  <si>
    <t>Sumber Bahan Baku – Hanya boleh membeli bahan baku dari toko yang terdaftar.</t>
  </si>
  <si>
    <t>Kualitas &amp; Kebersihan Bahan – Gunakan bahan segar, tidak kedaluwarsa, berlabel jelas, dan jaga area kerja tetap higienis.</t>
  </si>
  <si>
    <t>Takaran Bahan Baku – Gunakan ukuran / Takaran Bahan Baku sesuai standar.</t>
  </si>
  <si>
    <t>Konsistensi Produk – Proses pembuatan teh, topping, dan jus harus sesuai SOP.</t>
  </si>
  <si>
    <t>Penutup Wadah – Tutup kembali kotak es batu dan creamer setelah digunakan.</t>
  </si>
  <si>
    <t>B. Processing Order</t>
  </si>
  <si>
    <t>Shaking – Kocok minuman 10–15 kali sesuai standar.</t>
  </si>
  <si>
    <t>Ambil Es – Ambil es batu dengan rapi, tidak berantakan.</t>
  </si>
  <si>
    <t>Higienitas Minuman – Jari tidak boleh menyentuh minuman atau bagian dalam cup.</t>
  </si>
  <si>
    <t>C. Taste</t>
  </si>
  <si>
    <t>Keseimbangan Rasa – Rasa harus seimbang dan enak sesuai takaran.</t>
  </si>
  <si>
    <t>Kesegaran Bahan – Gunakan bahan segar dan berkualitas.</t>
  </si>
  <si>
    <t>Konsistensi Kualitas – Rasa, tampilan, dan porsi harus selalu sama di setiap pesanan.</t>
  </si>
  <si>
    <t>D. Packaging</t>
  </si>
  <si>
    <t>Kualitas Kemasan – Cup harus kuat, tidak bocor, dan menjaga suhu minuman.</t>
  </si>
  <si>
    <t>Kemudahan Penggunaan – Desain mudah digenggam, dibawa, dan diminum.</t>
  </si>
  <si>
    <t>Tampilan &amp; Branding – Kemasan menarik dan mencerminkan identitas brand.</t>
  </si>
  <si>
    <t>Kebersihan Cup – Cup minuman harus bersih dan sudah dilap sebelum disajikan.</t>
  </si>
  <si>
    <t>A. Music / Ambience</t>
  </si>
  <si>
    <t>Bahasa Lagu – Hanya lagu berbahasa Inggris yang boleh diputar.</t>
  </si>
  <si>
    <t>Genre Musik – Sesuaikan dengan konsep toko; hindari heavy metal, rock, EDM, dan sejenisnya.</t>
  </si>
  <si>
    <t>Volume Musik – Volume sedang, tidak terlalu keras atau terlalu pelan.</t>
  </si>
  <si>
    <t>B. Temperature &amp; Fragnance</t>
  </si>
  <si>
    <t>Suhu Nyaman – Jaga suhu ruangan 22–25°C untuk kenyamanan customer dan staff.</t>
  </si>
  <si>
    <t>Stabilitas Suhu – Hindari perubahan suhu mendadak antar area.</t>
  </si>
  <si>
    <t>Sirkulasi &amp; Kelembapan – Ventilasi baik, kelembapan dijaga di 40–60%.</t>
  </si>
  <si>
    <t>Aroma Menyenangkan – Ruangan harus wangi dan menyegarkan.</t>
  </si>
  <si>
    <t>Wangi yang Lembut – Hindari aroma yang terlalu menyengat.</t>
  </si>
  <si>
    <t>C. Technical</t>
  </si>
  <si>
    <t>Kalibrasi Mesin Gula – Pastikan kalibrasi sesuai standar (–2 poin jika tidak sesuai).</t>
  </si>
  <si>
    <t>Kondisi Peralatan – Semua equipment harus berfungsi normal dan layak pakai.</t>
  </si>
  <si>
    <t>Water Filter – Wajib diganti setiap 3 bulan sekali.</t>
  </si>
  <si>
    <t>A. Display</t>
  </si>
  <si>
    <t>Logo &amp; Quotes – Harus bersih, utuh, dan terpasang dengan rapi.</t>
  </si>
  <si>
    <t>Lampu – Tidak boleh ada lampu mati, semua harus berfungsi.</t>
  </si>
  <si>
    <t>Televisi – Harus dalam kondisi menyala dan siap digunakan.</t>
  </si>
  <si>
    <t>Area Kasir – Tent card, menu, dan QRIS harus tertata dan bersih.</t>
  </si>
  <si>
    <t>Tempat Sampah Kecil – Tidak boleh penuh terlalu lama, harus rutin dikosongkan.</t>
  </si>
  <si>
    <t>Banner &amp; Signage – Bersih, tidak rusak, dan dipasang sesuai standar.</t>
  </si>
  <si>
    <t>B. Bar Area</t>
  </si>
  <si>
    <t>Perawatan Peralatan – Bersihkan peralatan (jigger, shaker, dll) segera setelah dipakai dan rawat aset toko secara rutin.</t>
  </si>
  <si>
    <t>Larangan Makan – Tidak diperbolehkan makan di dalam area store.</t>
  </si>
  <si>
    <t>Kerapihan Barang – Semua barang di dalam store harus tertata dengan rapi.</t>
  </si>
  <si>
    <t>Tempat Sampah – Tidak boleh dalam kondisi terbuka.</t>
  </si>
  <si>
    <t>Kebersihan Lantai – Perhatikan sudut mati dan seluruh permukaan lantai.</t>
  </si>
  <si>
    <t>Rel Bawah Wastafel – Harus bersih dan bebas dari kotoran atau tumpukan barang.</t>
  </si>
  <si>
    <t>Mesin Gula</t>
  </si>
  <si>
    <t>Mesin Seal</t>
  </si>
  <si>
    <t>Tea Keg</t>
  </si>
  <si>
    <t>Gelas Ukuran Jumbo</t>
  </si>
  <si>
    <t>Panci</t>
  </si>
  <si>
    <t>Kompor</t>
  </si>
  <si>
    <t>Juicer</t>
  </si>
  <si>
    <t>Blender</t>
  </si>
  <si>
    <t>Lime Press</t>
  </si>
  <si>
    <t>Timbangan (Scale)</t>
  </si>
  <si>
    <t>Ice Maker</t>
  </si>
  <si>
    <t>Ice Bin</t>
  </si>
  <si>
    <t>Rice Cooker</t>
  </si>
  <si>
    <t>Chiller</t>
  </si>
  <si>
    <t>Alat pengambil topping (Saringan Boba, Saringan Jelly, Sendok)</t>
  </si>
  <si>
    <t>Alat Bar (Shacker, Long Bar Spoon, Creamer Spoon, Ice Scoop )</t>
  </si>
  <si>
    <t>Milk Jug</t>
  </si>
  <si>
    <t>Soup Ladle (Sendok Sup)</t>
  </si>
  <si>
    <t>(Peralatan yang Harus Bersih &amp; Berfungsi Baik)</t>
  </si>
  <si>
    <t>Water Boiler</t>
  </si>
  <si>
    <t>A. Habbit</t>
  </si>
  <si>
    <t>Pemisahan Alat – Alat kebersihan tidak boleh dicampur dengan alat makan, dan sebaliknya.</t>
  </si>
  <si>
    <t>Kesehatan Staff – Staff sakit tidak boleh bekerja. Jika batuk, flu, atau demam, wajib pakai masker dan bebas dari penyakit menular.</t>
  </si>
  <si>
    <t>Cuci Tangan – Wajib mencuci tangan sebelum memproses produk.</t>
  </si>
  <si>
    <t>Sarung Tangan – Wajib pakai sarung tangan bersih tanpa sobek, dan segera diganti jika rusak.</t>
  </si>
  <si>
    <t>B. Product Quality</t>
  </si>
  <si>
    <t>Produk Terbuka – Tidak boleh ada produk/Topping terbuka di luar Teazzi serta di dalam kulkas.</t>
  </si>
  <si>
    <t>Penutupan Produk – Semua produk harus tertutup rapat.</t>
  </si>
  <si>
    <t>Benda Asing – Produk tidak boleh mengandung benda asing apa pun.</t>
  </si>
  <si>
    <t>Kotak P3K – Pastikan tersedia dan isinya lengkap.</t>
  </si>
  <si>
    <t>Kebersihan dari Hama – Tidak boleh ada tanda-tanda keberadaan hama (serangga, tikus, dll). (-5/penemuan)</t>
  </si>
  <si>
    <t>INTERNAL AUDIT / 
VISIT STORE</t>
  </si>
  <si>
    <t>TOTAL SCORE</t>
  </si>
  <si>
    <t>FINAL
SCORE</t>
  </si>
  <si>
    <t>OTHER</t>
  </si>
  <si>
    <t>Rincian nilai perkategori</t>
  </si>
  <si>
    <t>KATEGORI</t>
  </si>
  <si>
    <t xml:space="preserve">C. Equipment </t>
  </si>
  <si>
    <t>Labeling Topping - Semua bahan baku kitchen memiliki label serta Penggunaan sesuai dengan FIFO/FEFO</t>
  </si>
  <si>
    <t>D. Seating Area</t>
  </si>
  <si>
    <t>Kebersihan Dining Area – Meja, kursi, dan area sekitar harus langsung dibersihkan setelah digunakan customer.</t>
  </si>
  <si>
    <t>Tempat Sampah – Tidak boleh penuh, harus rutin dikosongkan.</t>
  </si>
  <si>
    <t>Gabriel</t>
  </si>
  <si>
    <t>Bahan Terkontaminasi – Bahan yang jatuh atau terkontaminasi tidak boleh digunakan lagi, Expired(-2).</t>
  </si>
  <si>
    <t>Area Staff – Lemari staff harus rapi, barang pribadi tidak bercampur dengan barang toko dan  bahan baku tidak terlihat customer(tertutupi kain hitam).</t>
  </si>
  <si>
    <t>Penyimpanan Bahan Baku, tidak boleh diletakan diatas lantai langsung. Harus berjarak 10 cm diatas lantai</t>
  </si>
  <si>
    <t>Takaran &amp; Ukuran Topping – Gunakan topping sesuai gramasi yang ditentukan, memotong topping sesuai yang ditentuka.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</si>
</sst>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:\ \ \ \ \ ###"/>
    <numFmt numFmtId="165" formatCode="@\ * &quot;:&quot;"/>
    <numFmt numFmtId="166" formatCode="[$-F800]dddd\,\ mmmm\ dd\,\ yyyy"/>
    <numFmt numFmtId="167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hnschrift SemiBold"/>
      <family val="2"/>
    </font>
    <font>
      <sz val="2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Bahnschrift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167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196272</xdr:rowOff>
    </xdr:from>
    <xdr:to>
      <xdr:col>0</xdr:col>
      <xdr:colOff>970146</xdr:colOff>
      <xdr:row>2</xdr:row>
      <xdr:rowOff>265545</xdr:rowOff>
    </xdr:to>
    <xdr:pic>
      <xdr:nvPicPr>
        <xdr:cNvPr id="2" name="Picture 1" descr="Teazzi Indonesia">
          <a:extLst>
            <a:ext uri="{FF2B5EF4-FFF2-40B4-BE49-F238E27FC236}">
              <a16:creationId xmlns:a16="http://schemas.microsoft.com/office/drawing/2014/main" id="{292248E6-5905-0240-BF24-8BE8D1667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32" b="28125"/>
        <a:stretch/>
      </xdr:blipFill>
      <xdr:spPr bwMode="auto">
        <a:xfrm>
          <a:off x="1" y="196272"/>
          <a:ext cx="1090795" cy="513773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06B0-2AFF-7842-8DB9-3F7C210DB856}">
  <dimension ref="A2:D155"/>
  <sheetViews>
    <sheetView tabSelected="1" workbookViewId="0">
      <selection activeCell="C136" sqref="C136:C137"/>
    </sheetView>
  </sheetViews>
  <sheetFormatPr defaultColWidth="11.42578125" defaultRowHeight="15" x14ac:dyDescent="0.25"/>
  <cols>
    <col min="1" max="1" width="17.28515625" customWidth="1"/>
    <col min="2" max="2" width="49" style="25" customWidth="1"/>
    <col min="3" max="3" width="34.42578125" customWidth="1"/>
    <col min="4" max="4" width="18" customWidth="1"/>
  </cols>
  <sheetData>
    <row r="2" spans="1:4" ht="24.95" customHeight="1" x14ac:dyDescent="0.25">
      <c r="A2" s="5"/>
      <c r="B2" s="38" t="s">
        <v>131</v>
      </c>
      <c r="C2" s="41" t="s">
        <v>133</v>
      </c>
      <c r="D2" s="40" t="str">
        <f>IF(D9&lt;-25,"C",IF(D9&lt;-20,"B-",IF(D9&lt;-15,"B",IF(D9&lt;-8,"B+","A"))))</f>
        <v>A</v>
      </c>
    </row>
    <row r="3" spans="1:4" ht="21" customHeight="1" x14ac:dyDescent="0.25">
      <c r="B3" s="39"/>
      <c r="C3" s="42"/>
      <c r="D3" s="40"/>
    </row>
    <row r="6" spans="1:4" x14ac:dyDescent="0.25">
      <c r="A6" s="11" t="s">
        <v>9</v>
      </c>
      <c r="B6" s="23"/>
      <c r="C6" s="13" t="s">
        <v>2</v>
      </c>
      <c r="D6" t="s">
        <v>142</v>
      </c>
    </row>
    <row r="7" spans="1:4" x14ac:dyDescent="0.25">
      <c r="A7" s="12" t="s">
        <v>10</v>
      </c>
      <c r="B7" s="24"/>
      <c r="C7" s="13" t="s">
        <v>11</v>
      </c>
    </row>
    <row r="8" spans="1:4" x14ac:dyDescent="0.25">
      <c r="A8" s="12"/>
      <c r="B8" s="24"/>
    </row>
    <row r="9" spans="1:4" x14ac:dyDescent="0.25">
      <c r="C9" s="17" t="s">
        <v>132</v>
      </c>
      <c r="D9" s="18">
        <f>D11+D18+D21+D46+D71+D86+D127+D140</f>
        <v>0</v>
      </c>
    </row>
    <row r="10" spans="1:4" x14ac:dyDescent="0.25">
      <c r="A10" s="36" t="s">
        <v>12</v>
      </c>
      <c r="B10" s="36"/>
      <c r="C10" s="6" t="s">
        <v>13</v>
      </c>
      <c r="D10" s="7" t="s">
        <v>4</v>
      </c>
    </row>
    <row r="11" spans="1:4" ht="18.75" x14ac:dyDescent="0.3">
      <c r="A11" s="43" t="s">
        <v>18</v>
      </c>
      <c r="B11" s="43"/>
      <c r="C11" s="43"/>
      <c r="D11" s="7">
        <f>SUM(D12:D17)</f>
        <v>0</v>
      </c>
    </row>
    <row r="12" spans="1:4" ht="30" x14ac:dyDescent="0.25">
      <c r="A12" s="1">
        <v>1</v>
      </c>
      <c r="B12" s="26" t="s">
        <v>15</v>
      </c>
      <c r="C12" s="15"/>
      <c r="D12" s="14"/>
    </row>
    <row r="13" spans="1:4" ht="45" x14ac:dyDescent="0.25">
      <c r="A13" s="1">
        <v>2</v>
      </c>
      <c r="B13" s="26" t="s">
        <v>19</v>
      </c>
      <c r="C13" s="15"/>
      <c r="D13" s="14"/>
    </row>
    <row r="14" spans="1:4" ht="30" x14ac:dyDescent="0.25">
      <c r="A14" s="1">
        <v>3</v>
      </c>
      <c r="B14" s="4" t="s">
        <v>14</v>
      </c>
      <c r="C14" s="15"/>
      <c r="D14" s="14"/>
    </row>
    <row r="15" spans="1:4" x14ac:dyDescent="0.25">
      <c r="A15" s="1">
        <v>4</v>
      </c>
      <c r="B15" s="4" t="s">
        <v>16</v>
      </c>
      <c r="C15" s="15"/>
      <c r="D15" s="14"/>
    </row>
    <row r="16" spans="1:4" x14ac:dyDescent="0.25">
      <c r="A16" s="1">
        <v>5</v>
      </c>
      <c r="B16" s="4" t="s">
        <v>17</v>
      </c>
      <c r="C16" s="15"/>
      <c r="D16" s="14"/>
    </row>
    <row r="17" spans="1:4" x14ac:dyDescent="0.25">
      <c r="A17" s="1">
        <v>6</v>
      </c>
      <c r="B17" s="4" t="s">
        <v>38</v>
      </c>
      <c r="C17" s="21"/>
      <c r="D17" s="14"/>
    </row>
    <row r="18" spans="1:4" ht="18.75" x14ac:dyDescent="0.25">
      <c r="A18" s="34" t="s">
        <v>24</v>
      </c>
      <c r="B18" s="34"/>
      <c r="C18" s="34"/>
      <c r="D18" s="6">
        <f>SUM(D19:D20)</f>
        <v>0</v>
      </c>
    </row>
    <row r="19" spans="1:4" ht="30" x14ac:dyDescent="0.25">
      <c r="A19" s="1">
        <v>7</v>
      </c>
      <c r="B19" s="4" t="s">
        <v>25</v>
      </c>
      <c r="C19" s="15"/>
      <c r="D19" s="14"/>
    </row>
    <row r="20" spans="1:4" ht="30" x14ac:dyDescent="0.25">
      <c r="A20" s="1">
        <v>8</v>
      </c>
      <c r="B20" s="4" t="s">
        <v>26</v>
      </c>
      <c r="C20" s="15"/>
      <c r="D20" s="14"/>
    </row>
    <row r="21" spans="1:4" ht="18.75" x14ac:dyDescent="0.25">
      <c r="A21" s="34" t="s">
        <v>20</v>
      </c>
      <c r="B21" s="34"/>
      <c r="C21" s="34"/>
      <c r="D21" s="6">
        <f>D22+D27+D39</f>
        <v>0</v>
      </c>
    </row>
    <row r="22" spans="1:4" x14ac:dyDescent="0.25">
      <c r="A22" s="32" t="s">
        <v>21</v>
      </c>
      <c r="B22" s="32"/>
      <c r="C22" s="32"/>
      <c r="D22" s="6">
        <f>SUM(D23:D26)</f>
        <v>0</v>
      </c>
    </row>
    <row r="23" spans="1:4" x14ac:dyDescent="0.25">
      <c r="A23" s="10">
        <v>9</v>
      </c>
      <c r="B23" s="9" t="s">
        <v>22</v>
      </c>
      <c r="C23" s="15"/>
      <c r="D23" s="14"/>
    </row>
    <row r="24" spans="1:4" x14ac:dyDescent="0.25">
      <c r="A24" s="10">
        <v>10</v>
      </c>
      <c r="B24" s="9" t="s">
        <v>39</v>
      </c>
      <c r="C24" s="15"/>
      <c r="D24" s="14"/>
    </row>
    <row r="25" spans="1:4" x14ac:dyDescent="0.25">
      <c r="A25" s="10">
        <v>11</v>
      </c>
      <c r="B25" s="4" t="s">
        <v>45</v>
      </c>
      <c r="C25" s="15"/>
      <c r="D25" s="14"/>
    </row>
    <row r="26" spans="1:4" ht="60" x14ac:dyDescent="0.25">
      <c r="A26" s="10">
        <v>12</v>
      </c>
      <c r="B26" s="4" t="s">
        <v>5</v>
      </c>
      <c r="C26" s="15"/>
      <c r="D26" s="14"/>
    </row>
    <row r="27" spans="1:4" x14ac:dyDescent="0.25">
      <c r="A27" s="32" t="s">
        <v>23</v>
      </c>
      <c r="B27" s="32"/>
      <c r="C27" s="32"/>
      <c r="D27" s="6">
        <f>SUM(D28:D38)</f>
        <v>0</v>
      </c>
    </row>
    <row r="28" spans="1:4" ht="60" x14ac:dyDescent="0.25">
      <c r="A28" s="10">
        <v>13</v>
      </c>
      <c r="B28" s="4" t="s">
        <v>44</v>
      </c>
      <c r="C28" s="15"/>
      <c r="D28" s="14"/>
    </row>
    <row r="29" spans="1:4" ht="30" x14ac:dyDescent="0.25">
      <c r="A29" s="10">
        <v>14</v>
      </c>
      <c r="B29" s="4" t="s">
        <v>28</v>
      </c>
      <c r="C29" s="15"/>
      <c r="D29" s="14"/>
    </row>
    <row r="30" spans="1:4" ht="30" x14ac:dyDescent="0.25">
      <c r="A30" s="10">
        <v>15</v>
      </c>
      <c r="B30" s="4" t="s">
        <v>29</v>
      </c>
      <c r="C30" s="15"/>
      <c r="D30" s="14"/>
    </row>
    <row r="31" spans="1:4" ht="30" x14ac:dyDescent="0.25">
      <c r="A31" s="10">
        <v>16</v>
      </c>
      <c r="B31" s="4" t="s">
        <v>30</v>
      </c>
      <c r="C31" s="15"/>
      <c r="D31" s="14"/>
    </row>
    <row r="32" spans="1:4" ht="30" x14ac:dyDescent="0.25">
      <c r="A32" s="10">
        <v>17</v>
      </c>
      <c r="B32" s="26" t="s">
        <v>31</v>
      </c>
      <c r="C32" s="15"/>
      <c r="D32" s="14"/>
    </row>
    <row r="33" spans="1:4" ht="30" x14ac:dyDescent="0.25">
      <c r="A33" s="10">
        <v>18</v>
      </c>
      <c r="B33" s="4" t="s">
        <v>32</v>
      </c>
      <c r="C33" s="15"/>
      <c r="D33" s="14"/>
    </row>
    <row r="34" spans="1:4" ht="30" x14ac:dyDescent="0.25">
      <c r="A34" s="10">
        <v>19</v>
      </c>
      <c r="B34" s="26" t="s">
        <v>33</v>
      </c>
      <c r="C34" s="15"/>
      <c r="D34" s="14"/>
    </row>
    <row r="35" spans="1:4" ht="30" x14ac:dyDescent="0.25">
      <c r="A35" s="10">
        <v>20</v>
      </c>
      <c r="B35" s="26" t="s">
        <v>34</v>
      </c>
      <c r="C35" s="15"/>
      <c r="D35" s="14"/>
    </row>
    <row r="36" spans="1:4" ht="30" x14ac:dyDescent="0.25">
      <c r="A36" s="10">
        <v>21</v>
      </c>
      <c r="B36" s="26" t="s">
        <v>35</v>
      </c>
      <c r="C36" s="15"/>
      <c r="D36" s="14"/>
    </row>
    <row r="37" spans="1:4" ht="30" x14ac:dyDescent="0.25">
      <c r="A37" s="10">
        <v>22</v>
      </c>
      <c r="B37" s="26" t="s">
        <v>36</v>
      </c>
      <c r="C37" s="15"/>
      <c r="D37" s="14"/>
    </row>
    <row r="38" spans="1:4" ht="30" x14ac:dyDescent="0.25">
      <c r="A38" s="10">
        <v>23</v>
      </c>
      <c r="B38" s="26" t="s">
        <v>37</v>
      </c>
      <c r="C38" s="15"/>
      <c r="D38" s="14"/>
    </row>
    <row r="39" spans="1:4" x14ac:dyDescent="0.25">
      <c r="A39" s="32" t="s">
        <v>40</v>
      </c>
      <c r="B39" s="32"/>
      <c r="C39" s="32"/>
      <c r="D39" s="6">
        <f>SUM(D40:D45)</f>
        <v>0</v>
      </c>
    </row>
    <row r="40" spans="1:4" ht="30" x14ac:dyDescent="0.25">
      <c r="A40" s="1">
        <v>24</v>
      </c>
      <c r="B40" s="26" t="s">
        <v>41</v>
      </c>
      <c r="C40" s="15"/>
      <c r="D40" s="14"/>
    </row>
    <row r="41" spans="1:4" x14ac:dyDescent="0.25">
      <c r="A41" s="1">
        <v>25</v>
      </c>
      <c r="B41" s="27" t="s">
        <v>47</v>
      </c>
      <c r="C41" s="15"/>
      <c r="D41" s="14"/>
    </row>
    <row r="42" spans="1:4" ht="30" x14ac:dyDescent="0.25">
      <c r="A42" s="1">
        <v>26</v>
      </c>
      <c r="B42" s="26" t="s">
        <v>42</v>
      </c>
      <c r="C42" s="15"/>
      <c r="D42" s="14"/>
    </row>
    <row r="43" spans="1:4" ht="30" x14ac:dyDescent="0.25">
      <c r="A43" s="1">
        <v>27</v>
      </c>
      <c r="B43" s="26" t="s">
        <v>43</v>
      </c>
      <c r="C43" s="15"/>
      <c r="D43" s="14"/>
    </row>
    <row r="44" spans="1:4" x14ac:dyDescent="0.25">
      <c r="A44" s="1">
        <v>28</v>
      </c>
      <c r="B44" s="9" t="s">
        <v>46</v>
      </c>
      <c r="C44" s="15"/>
      <c r="D44" s="14"/>
    </row>
    <row r="45" spans="1:4" x14ac:dyDescent="0.25">
      <c r="A45" s="1">
        <v>29</v>
      </c>
      <c r="B45" s="4" t="s">
        <v>45</v>
      </c>
      <c r="C45" s="15"/>
      <c r="D45" s="14"/>
    </row>
    <row r="46" spans="1:4" ht="21" x14ac:dyDescent="0.25">
      <c r="A46" s="44" t="s">
        <v>48</v>
      </c>
      <c r="B46" s="44"/>
      <c r="C46" s="44"/>
      <c r="D46" s="6">
        <f>D47+D55+D62+D66</f>
        <v>0</v>
      </c>
    </row>
    <row r="47" spans="1:4" x14ac:dyDescent="0.25">
      <c r="A47" s="32" t="s">
        <v>49</v>
      </c>
      <c r="B47" s="32"/>
      <c r="C47" s="32"/>
      <c r="D47" s="6">
        <f>SUM(D48:D53)</f>
        <v>0</v>
      </c>
    </row>
    <row r="48" spans="1:4" ht="30" x14ac:dyDescent="0.25">
      <c r="A48" s="1">
        <v>30</v>
      </c>
      <c r="B48" s="26" t="s">
        <v>50</v>
      </c>
      <c r="C48" s="21"/>
      <c r="D48" s="14"/>
    </row>
    <row r="49" spans="1:4" ht="30" x14ac:dyDescent="0.25">
      <c r="A49" s="1">
        <v>31</v>
      </c>
      <c r="B49" s="26" t="s">
        <v>54</v>
      </c>
      <c r="C49" s="15"/>
      <c r="D49" s="14"/>
    </row>
    <row r="50" spans="1:4" ht="30" x14ac:dyDescent="0.25">
      <c r="A50" s="1">
        <v>32</v>
      </c>
      <c r="B50" s="26" t="s">
        <v>53</v>
      </c>
      <c r="C50" s="15"/>
      <c r="D50" s="14"/>
    </row>
    <row r="51" spans="1:4" ht="30" x14ac:dyDescent="0.25">
      <c r="A51" s="1">
        <v>33</v>
      </c>
      <c r="B51" s="26" t="s">
        <v>52</v>
      </c>
      <c r="C51" s="15"/>
      <c r="D51" s="14"/>
    </row>
    <row r="52" spans="1:4" ht="45" x14ac:dyDescent="0.25">
      <c r="A52" s="1">
        <v>34</v>
      </c>
      <c r="B52" s="26" t="s">
        <v>55</v>
      </c>
      <c r="C52" s="21"/>
      <c r="D52" s="14"/>
    </row>
    <row r="53" spans="1:4" ht="30" x14ac:dyDescent="0.25">
      <c r="A53" s="1">
        <v>35</v>
      </c>
      <c r="B53" s="26" t="s">
        <v>56</v>
      </c>
      <c r="C53" s="15"/>
      <c r="D53" s="14"/>
    </row>
    <row r="54" spans="1:4" ht="45" x14ac:dyDescent="0.25">
      <c r="A54" s="1">
        <v>36</v>
      </c>
      <c r="B54" s="26" t="s">
        <v>145</v>
      </c>
      <c r="C54" s="15"/>
      <c r="D54" s="14"/>
    </row>
    <row r="55" spans="1:4" x14ac:dyDescent="0.25">
      <c r="A55" s="32" t="s">
        <v>59</v>
      </c>
      <c r="B55" s="32"/>
      <c r="C55" s="32"/>
      <c r="D55" s="6">
        <f>SUM(D56:D61)</f>
        <v>0</v>
      </c>
    </row>
    <row r="56" spans="1:4" ht="30" x14ac:dyDescent="0.25">
      <c r="A56" s="1">
        <v>37</v>
      </c>
      <c r="B56" s="26" t="s">
        <v>57</v>
      </c>
      <c r="C56" s="15"/>
      <c r="D56" s="14"/>
    </row>
    <row r="57" spans="1:4" ht="30" x14ac:dyDescent="0.25">
      <c r="A57" s="1">
        <v>38</v>
      </c>
      <c r="B57" s="26" t="s">
        <v>58</v>
      </c>
      <c r="C57" s="21"/>
      <c r="D57" s="14"/>
    </row>
    <row r="58" spans="1:4" x14ac:dyDescent="0.25">
      <c r="A58" s="1">
        <v>39</v>
      </c>
      <c r="B58" s="26" t="s">
        <v>60</v>
      </c>
      <c r="C58" s="15"/>
      <c r="D58" s="14"/>
    </row>
    <row r="59" spans="1:4" ht="30" x14ac:dyDescent="0.25">
      <c r="A59" s="1">
        <v>40</v>
      </c>
      <c r="B59" s="26" t="s">
        <v>61</v>
      </c>
      <c r="D59" s="14"/>
    </row>
    <row r="60" spans="1:4" ht="30" x14ac:dyDescent="0.25">
      <c r="A60" s="1">
        <v>41</v>
      </c>
      <c r="B60" s="26" t="s">
        <v>62</v>
      </c>
      <c r="C60" s="15"/>
      <c r="D60" s="14"/>
    </row>
    <row r="61" spans="1:4" ht="45" x14ac:dyDescent="0.25">
      <c r="A61" s="1">
        <v>42</v>
      </c>
      <c r="B61" s="26" t="s">
        <v>146</v>
      </c>
      <c r="C61" s="15"/>
      <c r="D61" s="14"/>
    </row>
    <row r="62" spans="1:4" x14ac:dyDescent="0.25">
      <c r="A62" s="32" t="s">
        <v>63</v>
      </c>
      <c r="B62" s="32"/>
      <c r="C62" s="32"/>
      <c r="D62" s="6">
        <f>SUM(D63:D65)</f>
        <v>0</v>
      </c>
    </row>
    <row r="63" spans="1:4" ht="30" x14ac:dyDescent="0.25">
      <c r="A63" s="1">
        <v>43</v>
      </c>
      <c r="B63" s="26" t="s">
        <v>64</v>
      </c>
      <c r="C63" s="15"/>
      <c r="D63" s="14"/>
    </row>
    <row r="64" spans="1:4" x14ac:dyDescent="0.25">
      <c r="A64" s="1">
        <v>44</v>
      </c>
      <c r="B64" s="27" t="s">
        <v>65</v>
      </c>
      <c r="C64" s="15"/>
      <c r="D64" s="14"/>
    </row>
    <row r="65" spans="1:4" ht="30" x14ac:dyDescent="0.25">
      <c r="A65" s="1">
        <v>45</v>
      </c>
      <c r="B65" s="26" t="s">
        <v>66</v>
      </c>
      <c r="C65" s="15"/>
      <c r="D65" s="14"/>
    </row>
    <row r="66" spans="1:4" x14ac:dyDescent="0.25">
      <c r="A66" s="32" t="s">
        <v>67</v>
      </c>
      <c r="B66" s="32"/>
      <c r="C66" s="32"/>
      <c r="D66" s="6">
        <f>SUM(D67:D70)</f>
        <v>0</v>
      </c>
    </row>
    <row r="67" spans="1:4" ht="30" x14ac:dyDescent="0.25">
      <c r="A67" s="1">
        <v>46</v>
      </c>
      <c r="B67" s="26" t="s">
        <v>68</v>
      </c>
      <c r="C67" s="15"/>
      <c r="D67" s="14"/>
    </row>
    <row r="68" spans="1:4" ht="30" x14ac:dyDescent="0.25">
      <c r="A68" s="1">
        <v>47</v>
      </c>
      <c r="B68" s="26" t="s">
        <v>69</v>
      </c>
      <c r="C68" s="15"/>
      <c r="D68" s="14"/>
    </row>
    <row r="69" spans="1:4" ht="30" x14ac:dyDescent="0.25">
      <c r="A69" s="1">
        <v>48</v>
      </c>
      <c r="B69" s="26" t="s">
        <v>70</v>
      </c>
      <c r="C69" s="15"/>
      <c r="D69" s="14"/>
    </row>
    <row r="70" spans="1:4" ht="30" x14ac:dyDescent="0.25">
      <c r="A70" s="1">
        <v>49</v>
      </c>
      <c r="B70" s="26" t="s">
        <v>71</v>
      </c>
      <c r="C70" s="15"/>
      <c r="D70" s="14"/>
    </row>
    <row r="71" spans="1:4" ht="18.75" x14ac:dyDescent="0.25">
      <c r="A71" s="34" t="s">
        <v>0</v>
      </c>
      <c r="B71" s="34"/>
      <c r="C71" s="34"/>
      <c r="D71" s="6">
        <f>D72+D76+D82</f>
        <v>0</v>
      </c>
    </row>
    <row r="72" spans="1:4" x14ac:dyDescent="0.25">
      <c r="A72" s="32" t="s">
        <v>72</v>
      </c>
      <c r="B72" s="32"/>
      <c r="C72" s="32"/>
      <c r="D72" s="6">
        <f>SUM(D73:D75)</f>
        <v>0</v>
      </c>
    </row>
    <row r="73" spans="1:4" ht="30" x14ac:dyDescent="0.25">
      <c r="A73" s="1">
        <v>50</v>
      </c>
      <c r="B73" s="26" t="s">
        <v>73</v>
      </c>
      <c r="C73" s="15"/>
      <c r="D73" s="14"/>
    </row>
    <row r="74" spans="1:4" ht="30" x14ac:dyDescent="0.25">
      <c r="A74" s="1">
        <v>51</v>
      </c>
      <c r="B74" s="26" t="s">
        <v>74</v>
      </c>
      <c r="C74" s="15"/>
      <c r="D74" s="14"/>
    </row>
    <row r="75" spans="1:4" ht="30" x14ac:dyDescent="0.25">
      <c r="A75" s="1">
        <v>52</v>
      </c>
      <c r="B75" s="26" t="s">
        <v>75</v>
      </c>
      <c r="C75" s="15"/>
      <c r="D75" s="14"/>
    </row>
    <row r="76" spans="1:4" x14ac:dyDescent="0.25">
      <c r="A76" s="32" t="s">
        <v>76</v>
      </c>
      <c r="B76" s="32"/>
      <c r="C76" s="32"/>
      <c r="D76" s="6">
        <f>SUM(D77:D81)</f>
        <v>0</v>
      </c>
    </row>
    <row r="77" spans="1:4" ht="30" x14ac:dyDescent="0.25">
      <c r="A77" s="1">
        <v>53</v>
      </c>
      <c r="B77" s="26" t="s">
        <v>77</v>
      </c>
      <c r="C77" s="15"/>
      <c r="D77" s="14"/>
    </row>
    <row r="78" spans="1:4" ht="30" x14ac:dyDescent="0.25">
      <c r="A78" s="1">
        <v>54</v>
      </c>
      <c r="B78" s="26" t="s">
        <v>78</v>
      </c>
      <c r="C78" s="15"/>
      <c r="D78" s="14"/>
    </row>
    <row r="79" spans="1:4" ht="30" x14ac:dyDescent="0.25">
      <c r="A79" s="1">
        <v>55</v>
      </c>
      <c r="B79" s="26" t="s">
        <v>79</v>
      </c>
      <c r="C79" s="15"/>
      <c r="D79" s="14"/>
    </row>
    <row r="80" spans="1:4" ht="30" x14ac:dyDescent="0.25">
      <c r="A80" s="1">
        <v>56</v>
      </c>
      <c r="B80" s="26" t="s">
        <v>80</v>
      </c>
      <c r="C80" s="15"/>
      <c r="D80" s="14"/>
    </row>
    <row r="81" spans="1:4" ht="30" x14ac:dyDescent="0.25">
      <c r="A81" s="1">
        <v>57</v>
      </c>
      <c r="B81" s="26" t="s">
        <v>81</v>
      </c>
      <c r="C81" s="15"/>
      <c r="D81" s="14"/>
    </row>
    <row r="82" spans="1:4" x14ac:dyDescent="0.25">
      <c r="A82" s="32" t="s">
        <v>82</v>
      </c>
      <c r="B82" s="32"/>
      <c r="C82" s="32"/>
      <c r="D82" s="6">
        <f>SUM(D83:D85)</f>
        <v>0</v>
      </c>
    </row>
    <row r="83" spans="1:4" ht="30" x14ac:dyDescent="0.25">
      <c r="A83" s="1">
        <v>58</v>
      </c>
      <c r="B83" s="26" t="s">
        <v>83</v>
      </c>
      <c r="C83" s="15"/>
      <c r="D83" s="14"/>
    </row>
    <row r="84" spans="1:4" ht="30" x14ac:dyDescent="0.25">
      <c r="A84" s="1">
        <v>59</v>
      </c>
      <c r="B84" s="26" t="s">
        <v>84</v>
      </c>
      <c r="C84" s="15"/>
      <c r="D84" s="14"/>
    </row>
    <row r="85" spans="1:4" x14ac:dyDescent="0.25">
      <c r="A85" s="1">
        <v>60</v>
      </c>
      <c r="B85" s="4" t="s">
        <v>85</v>
      </c>
      <c r="C85" s="21"/>
      <c r="D85" s="14"/>
    </row>
    <row r="86" spans="1:4" ht="18.75" x14ac:dyDescent="0.25">
      <c r="A86" s="34" t="s">
        <v>27</v>
      </c>
      <c r="B86" s="34"/>
      <c r="C86" s="34"/>
      <c r="D86" s="6">
        <f>D87+D94+D102+D124</f>
        <v>0</v>
      </c>
    </row>
    <row r="87" spans="1:4" x14ac:dyDescent="0.25">
      <c r="A87" s="32" t="s">
        <v>86</v>
      </c>
      <c r="B87" s="32"/>
      <c r="C87" s="32"/>
      <c r="D87" s="6">
        <f>SUM(D88:D93)</f>
        <v>0</v>
      </c>
    </row>
    <row r="88" spans="1:4" x14ac:dyDescent="0.25">
      <c r="A88" s="1">
        <v>61</v>
      </c>
      <c r="B88" s="27" t="s">
        <v>87</v>
      </c>
      <c r="C88" s="21"/>
      <c r="D88" s="14"/>
    </row>
    <row r="89" spans="1:4" x14ac:dyDescent="0.25">
      <c r="A89" s="1">
        <v>62</v>
      </c>
      <c r="B89" s="27" t="s">
        <v>88</v>
      </c>
      <c r="C89" s="21"/>
      <c r="D89" s="14"/>
    </row>
    <row r="90" spans="1:4" x14ac:dyDescent="0.25">
      <c r="A90" s="1">
        <v>63</v>
      </c>
      <c r="B90" s="27" t="s">
        <v>89</v>
      </c>
      <c r="C90" s="15"/>
      <c r="D90" s="14"/>
    </row>
    <row r="91" spans="1:4" x14ac:dyDescent="0.25">
      <c r="A91" s="1">
        <v>64</v>
      </c>
      <c r="B91" s="27" t="s">
        <v>90</v>
      </c>
      <c r="C91" s="28"/>
      <c r="D91" s="14"/>
    </row>
    <row r="92" spans="1:4" ht="30" x14ac:dyDescent="0.25">
      <c r="A92" s="1">
        <v>65</v>
      </c>
      <c r="B92" s="26" t="s">
        <v>91</v>
      </c>
      <c r="C92" s="28"/>
      <c r="D92" s="14"/>
    </row>
    <row r="93" spans="1:4" ht="30" x14ac:dyDescent="0.25">
      <c r="A93" s="1">
        <v>66</v>
      </c>
      <c r="B93" s="26" t="s">
        <v>92</v>
      </c>
      <c r="C93" s="15"/>
      <c r="D93" s="14"/>
    </row>
    <row r="94" spans="1:4" x14ac:dyDescent="0.25">
      <c r="A94" s="32" t="s">
        <v>93</v>
      </c>
      <c r="B94" s="32"/>
      <c r="C94" s="32"/>
      <c r="D94" s="6">
        <f>SUM(D95:D101)</f>
        <v>0</v>
      </c>
    </row>
    <row r="95" spans="1:4" ht="45" x14ac:dyDescent="0.25">
      <c r="A95" s="1">
        <v>67</v>
      </c>
      <c r="B95" s="26" t="s">
        <v>144</v>
      </c>
      <c r="C95" s="21"/>
      <c r="D95" s="14"/>
    </row>
    <row r="96" spans="1:4" ht="45" x14ac:dyDescent="0.25">
      <c r="A96" s="1">
        <v>68</v>
      </c>
      <c r="B96" s="26" t="s">
        <v>94</v>
      </c>
      <c r="C96" s="15"/>
      <c r="D96" s="14"/>
    </row>
    <row r="97" spans="1:4" ht="30" x14ac:dyDescent="0.25">
      <c r="A97" s="1">
        <v>69</v>
      </c>
      <c r="B97" s="26" t="s">
        <v>95</v>
      </c>
      <c r="C97" s="15"/>
      <c r="D97" s="14"/>
    </row>
    <row r="98" spans="1:4" ht="30" x14ac:dyDescent="0.25">
      <c r="A98" s="1">
        <v>70</v>
      </c>
      <c r="B98" s="26" t="s">
        <v>96</v>
      </c>
      <c r="C98" s="15"/>
      <c r="D98" s="14"/>
    </row>
    <row r="99" spans="1:4" ht="30" x14ac:dyDescent="0.25">
      <c r="A99" s="1">
        <v>71</v>
      </c>
      <c r="B99" s="26" t="s">
        <v>97</v>
      </c>
      <c r="C99" s="15"/>
      <c r="D99" s="14"/>
    </row>
    <row r="100" spans="1:4" ht="30" x14ac:dyDescent="0.25">
      <c r="A100" s="1">
        <v>72</v>
      </c>
      <c r="B100" s="26" t="s">
        <v>98</v>
      </c>
      <c r="C100" s="21"/>
      <c r="D100" s="14"/>
    </row>
    <row r="101" spans="1:4" ht="30" x14ac:dyDescent="0.25">
      <c r="A101" s="1">
        <v>73</v>
      </c>
      <c r="B101" s="26" t="s">
        <v>99</v>
      </c>
      <c r="C101" s="15"/>
      <c r="D101" s="14"/>
    </row>
    <row r="102" spans="1:4" ht="15" customHeight="1" x14ac:dyDescent="0.25">
      <c r="A102" s="33" t="s">
        <v>137</v>
      </c>
      <c r="B102" s="32"/>
      <c r="C102" s="32"/>
      <c r="D102" s="19">
        <f>SUM(D104:D123)</f>
        <v>0</v>
      </c>
    </row>
    <row r="103" spans="1:4" x14ac:dyDescent="0.25">
      <c r="A103" s="33" t="s">
        <v>118</v>
      </c>
      <c r="B103" s="32"/>
      <c r="C103" s="32"/>
      <c r="D103" s="20"/>
    </row>
    <row r="104" spans="1:4" x14ac:dyDescent="0.25">
      <c r="A104" s="1">
        <v>74</v>
      </c>
      <c r="B104" s="27" t="s">
        <v>100</v>
      </c>
      <c r="C104" s="15"/>
      <c r="D104" s="14"/>
    </row>
    <row r="105" spans="1:4" x14ac:dyDescent="0.25">
      <c r="A105" s="1">
        <v>75</v>
      </c>
      <c r="B105" s="27" t="s">
        <v>101</v>
      </c>
      <c r="C105" s="15"/>
      <c r="D105" s="14"/>
    </row>
    <row r="106" spans="1:4" x14ac:dyDescent="0.25">
      <c r="A106" s="1">
        <v>76</v>
      </c>
      <c r="B106" s="27" t="s">
        <v>102</v>
      </c>
      <c r="C106" s="15"/>
      <c r="D106" s="14"/>
    </row>
    <row r="107" spans="1:4" x14ac:dyDescent="0.25">
      <c r="A107" s="1">
        <v>77</v>
      </c>
      <c r="B107" s="27" t="s">
        <v>103</v>
      </c>
      <c r="C107" s="15"/>
      <c r="D107" s="14"/>
    </row>
    <row r="108" spans="1:4" x14ac:dyDescent="0.25">
      <c r="A108" s="1">
        <v>78</v>
      </c>
      <c r="B108" s="27" t="s">
        <v>104</v>
      </c>
      <c r="C108" s="15"/>
      <c r="D108" s="14"/>
    </row>
    <row r="109" spans="1:4" x14ac:dyDescent="0.25">
      <c r="A109" s="1">
        <v>79</v>
      </c>
      <c r="B109" s="27" t="s">
        <v>117</v>
      </c>
      <c r="C109" s="15"/>
      <c r="D109" s="14"/>
    </row>
    <row r="110" spans="1:4" x14ac:dyDescent="0.25">
      <c r="A110" s="1">
        <v>80</v>
      </c>
      <c r="B110" s="27" t="s">
        <v>105</v>
      </c>
      <c r="C110" s="15"/>
      <c r="D110" s="14"/>
    </row>
    <row r="111" spans="1:4" x14ac:dyDescent="0.25">
      <c r="A111" s="1">
        <v>81</v>
      </c>
      <c r="B111" s="27" t="s">
        <v>106</v>
      </c>
      <c r="C111" s="15"/>
      <c r="D111" s="14"/>
    </row>
    <row r="112" spans="1:4" x14ac:dyDescent="0.25">
      <c r="A112" s="1">
        <v>82</v>
      </c>
      <c r="B112" s="27" t="s">
        <v>107</v>
      </c>
      <c r="C112" s="15"/>
      <c r="D112" s="14"/>
    </row>
    <row r="113" spans="1:4" x14ac:dyDescent="0.25">
      <c r="A113" s="1">
        <v>83</v>
      </c>
      <c r="B113" s="27" t="s">
        <v>108</v>
      </c>
      <c r="D113" s="14"/>
    </row>
    <row r="114" spans="1:4" x14ac:dyDescent="0.25">
      <c r="A114" s="1">
        <v>84</v>
      </c>
      <c r="B114" s="27" t="s">
        <v>109</v>
      </c>
      <c r="C114" s="15"/>
      <c r="D114" s="14"/>
    </row>
    <row r="115" spans="1:4" x14ac:dyDescent="0.25">
      <c r="A115" s="1">
        <v>85</v>
      </c>
      <c r="B115" s="27" t="s">
        <v>110</v>
      </c>
      <c r="C115" s="15"/>
      <c r="D115" s="14"/>
    </row>
    <row r="116" spans="1:4" x14ac:dyDescent="0.25">
      <c r="A116" s="1">
        <v>86</v>
      </c>
      <c r="B116" s="27" t="s">
        <v>111</v>
      </c>
      <c r="C116" s="15"/>
      <c r="D116" s="14"/>
    </row>
    <row r="117" spans="1:4" x14ac:dyDescent="0.25">
      <c r="A117" s="1">
        <v>87</v>
      </c>
      <c r="B117" s="27" t="s">
        <v>112</v>
      </c>
      <c r="C117" s="15"/>
      <c r="D117" s="14"/>
    </row>
    <row r="118" spans="1:4" x14ac:dyDescent="0.25">
      <c r="A118" s="1">
        <v>88</v>
      </c>
      <c r="B118" s="27" t="s">
        <v>113</v>
      </c>
      <c r="C118" s="15"/>
      <c r="D118" s="14"/>
    </row>
    <row r="119" spans="1:4" x14ac:dyDescent="0.25">
      <c r="A119" s="1">
        <v>89</v>
      </c>
      <c r="B119" s="27" t="s">
        <v>114</v>
      </c>
      <c r="D119" s="14"/>
    </row>
    <row r="120" spans="1:4" x14ac:dyDescent="0.25">
      <c r="A120" s="1">
        <v>90</v>
      </c>
      <c r="B120" s="27" t="s">
        <v>115</v>
      </c>
      <c r="C120" s="15"/>
      <c r="D120" s="14"/>
    </row>
    <row r="121" spans="1:4" x14ac:dyDescent="0.25">
      <c r="A121" s="1">
        <v>91</v>
      </c>
      <c r="B121" s="27" t="s">
        <v>116</v>
      </c>
      <c r="C121" s="15"/>
      <c r="D121" s="14"/>
    </row>
    <row r="122" spans="1:4" x14ac:dyDescent="0.25">
      <c r="A122" s="1">
        <v>92</v>
      </c>
      <c r="B122" s="27" t="s">
        <v>119</v>
      </c>
      <c r="C122" s="15"/>
      <c r="D122" s="14"/>
    </row>
    <row r="123" spans="1:4" x14ac:dyDescent="0.25">
      <c r="A123" s="1">
        <v>93</v>
      </c>
      <c r="B123" s="27" t="s">
        <v>7</v>
      </c>
      <c r="C123" s="28"/>
      <c r="D123" s="14"/>
    </row>
    <row r="124" spans="1:4" x14ac:dyDescent="0.25">
      <c r="A124" s="33" t="s">
        <v>139</v>
      </c>
      <c r="B124" s="32"/>
      <c r="C124" s="32"/>
      <c r="D124" s="19">
        <f>SUM(D125:D126)</f>
        <v>0</v>
      </c>
    </row>
    <row r="125" spans="1:4" ht="45" x14ac:dyDescent="0.25">
      <c r="A125" s="1">
        <v>94</v>
      </c>
      <c r="B125" s="26" t="s">
        <v>140</v>
      </c>
      <c r="C125" s="15"/>
      <c r="D125" s="14"/>
    </row>
    <row r="126" spans="1:4" x14ac:dyDescent="0.25">
      <c r="A126" s="1">
        <v>95</v>
      </c>
      <c r="B126" s="27" t="s">
        <v>141</v>
      </c>
      <c r="C126" s="15"/>
      <c r="D126" s="14"/>
    </row>
    <row r="127" spans="1:4" ht="18.75" x14ac:dyDescent="0.25">
      <c r="A127" s="34" t="s">
        <v>3</v>
      </c>
      <c r="B127" s="34"/>
      <c r="C127" s="34"/>
      <c r="D127" s="6">
        <f>D128+D133</f>
        <v>0</v>
      </c>
    </row>
    <row r="128" spans="1:4" x14ac:dyDescent="0.25">
      <c r="A128" s="32" t="s">
        <v>120</v>
      </c>
      <c r="B128" s="32"/>
      <c r="C128" s="32"/>
      <c r="D128" s="6">
        <f>SUM(D129:D132)</f>
        <v>0</v>
      </c>
    </row>
    <row r="129" spans="1:4" ht="30" x14ac:dyDescent="0.25">
      <c r="A129" s="1">
        <v>96</v>
      </c>
      <c r="B129" s="26" t="s">
        <v>121</v>
      </c>
      <c r="C129" s="21"/>
      <c r="D129" s="14"/>
    </row>
    <row r="130" spans="1:4" ht="45" x14ac:dyDescent="0.25">
      <c r="A130" s="1">
        <v>97</v>
      </c>
      <c r="B130" s="26" t="s">
        <v>122</v>
      </c>
      <c r="C130" s="15"/>
      <c r="D130" s="14"/>
    </row>
    <row r="131" spans="1:4" ht="30" x14ac:dyDescent="0.25">
      <c r="A131" s="1">
        <v>98</v>
      </c>
      <c r="B131" s="26" t="s">
        <v>123</v>
      </c>
      <c r="C131" s="15"/>
      <c r="D131" s="14"/>
    </row>
    <row r="132" spans="1:4" ht="30" x14ac:dyDescent="0.25">
      <c r="A132" s="1">
        <v>99</v>
      </c>
      <c r="B132" s="26" t="s">
        <v>124</v>
      </c>
      <c r="C132" s="15"/>
      <c r="D132" s="14"/>
    </row>
    <row r="133" spans="1:4" x14ac:dyDescent="0.25">
      <c r="A133" s="32" t="s">
        <v>125</v>
      </c>
      <c r="B133" s="32"/>
      <c r="C133" s="32"/>
      <c r="D133" s="6">
        <f>SUM(D134:D139)</f>
        <v>0</v>
      </c>
    </row>
    <row r="134" spans="1:4" ht="30" x14ac:dyDescent="0.25">
      <c r="A134" s="1">
        <v>100</v>
      </c>
      <c r="B134" s="26" t="s">
        <v>126</v>
      </c>
      <c r="C134" s="15"/>
      <c r="D134" s="14"/>
    </row>
    <row r="135" spans="1:4" x14ac:dyDescent="0.25">
      <c r="A135" s="1">
        <v>101</v>
      </c>
      <c r="B135" s="27" t="s">
        <v>127</v>
      </c>
      <c r="C135" s="28"/>
      <c r="D135" s="14"/>
    </row>
    <row r="136" spans="1:4" ht="45" x14ac:dyDescent="0.25">
      <c r="A136" s="1">
        <v>102</v>
      </c>
      <c r="B136" s="26" t="s">
        <v>138</v>
      </c>
      <c r="C136" s="28"/>
      <c r="D136" s="14"/>
    </row>
    <row r="137" spans="1:4" ht="30" x14ac:dyDescent="0.25">
      <c r="A137" s="1">
        <v>103</v>
      </c>
      <c r="B137" s="26" t="s">
        <v>51</v>
      </c>
      <c r="C137" s="28"/>
      <c r="D137" s="14"/>
    </row>
    <row r="138" spans="1:4" ht="45" x14ac:dyDescent="0.25">
      <c r="A138" s="1">
        <v>104</v>
      </c>
      <c r="B138" s="26" t="s">
        <v>143</v>
      </c>
      <c r="C138" s="15"/>
      <c r="D138" s="14"/>
    </row>
    <row r="139" spans="1:4" ht="30" x14ac:dyDescent="0.25">
      <c r="A139" s="1">
        <v>105</v>
      </c>
      <c r="B139" s="26" t="s">
        <v>128</v>
      </c>
      <c r="C139" s="15"/>
      <c r="D139" s="14"/>
    </row>
    <row r="140" spans="1:4" x14ac:dyDescent="0.25">
      <c r="A140" s="32" t="s">
        <v>134</v>
      </c>
      <c r="B140" s="32"/>
      <c r="C140" s="32"/>
      <c r="D140" s="6">
        <f>D141+D142</f>
        <v>0</v>
      </c>
    </row>
    <row r="141" spans="1:4" x14ac:dyDescent="0.25">
      <c r="A141" s="1">
        <v>106</v>
      </c>
      <c r="B141" s="27" t="s">
        <v>129</v>
      </c>
      <c r="C141" s="15"/>
      <c r="D141" s="14"/>
    </row>
    <row r="142" spans="1:4" ht="45" x14ac:dyDescent="0.25">
      <c r="A142" s="1">
        <v>107</v>
      </c>
      <c r="B142" s="26" t="s">
        <v>130</v>
      </c>
      <c r="C142" s="21"/>
      <c r="D142" s="14"/>
    </row>
    <row r="143" spans="1:4" x14ac:dyDescent="0.25">
      <c r="A143" s="32" t="s">
        <v>8</v>
      </c>
      <c r="B143" s="32"/>
      <c r="C143" s="32"/>
      <c r="D143" s="8"/>
    </row>
    <row r="144" spans="1:4" ht="45" x14ac:dyDescent="0.25">
      <c r="A144" s="1">
        <v>108</v>
      </c>
      <c r="B144" s="26" t="s">
        <v>6</v>
      </c>
      <c r="C144" s="28"/>
      <c r="D144" s="14"/>
    </row>
    <row r="147" spans="1:4" x14ac:dyDescent="0.25">
      <c r="A147" s="37" t="s">
        <v>135</v>
      </c>
      <c r="B147" s="37"/>
    </row>
    <row r="148" spans="1:4" ht="21" x14ac:dyDescent="0.35">
      <c r="A148" s="35" t="s">
        <v>136</v>
      </c>
      <c r="B148" s="35"/>
      <c r="C148" s="35"/>
      <c r="D148" s="16" t="s">
        <v>4</v>
      </c>
    </row>
    <row r="149" spans="1:4" x14ac:dyDescent="0.25">
      <c r="A149" s="36" t="s">
        <v>18</v>
      </c>
      <c r="B149" s="36"/>
      <c r="C149" s="36"/>
      <c r="D149" s="22">
        <f>(6+D11)/6*100</f>
        <v>100</v>
      </c>
    </row>
    <row r="150" spans="1:4" x14ac:dyDescent="0.25">
      <c r="A150" s="32" t="s">
        <v>24</v>
      </c>
      <c r="B150" s="32"/>
      <c r="C150" s="32"/>
      <c r="D150" s="22">
        <f>(2+D18)/2*100</f>
        <v>100</v>
      </c>
    </row>
    <row r="151" spans="1:4" x14ac:dyDescent="0.25">
      <c r="A151" s="32" t="s">
        <v>20</v>
      </c>
      <c r="B151" s="32"/>
      <c r="C151" s="32"/>
      <c r="D151" s="22">
        <f>(21+D21)/21*100</f>
        <v>100</v>
      </c>
    </row>
    <row r="152" spans="1:4" x14ac:dyDescent="0.25">
      <c r="A152" s="32" t="s">
        <v>48</v>
      </c>
      <c r="B152" s="32"/>
      <c r="C152" s="32"/>
      <c r="D152" s="22">
        <f>(18+D46)/18*100</f>
        <v>100</v>
      </c>
    </row>
    <row r="153" spans="1:4" x14ac:dyDescent="0.25">
      <c r="A153" s="32" t="s">
        <v>0</v>
      </c>
      <c r="B153" s="32"/>
      <c r="C153" s="32"/>
      <c r="D153" s="22">
        <f>(11+D71)/11*100</f>
        <v>100</v>
      </c>
    </row>
    <row r="154" spans="1:4" x14ac:dyDescent="0.25">
      <c r="A154" s="32" t="s">
        <v>27</v>
      </c>
      <c r="B154" s="32"/>
      <c r="C154" s="32"/>
      <c r="D154" s="22">
        <f>(35+D86)/7*20</f>
        <v>100</v>
      </c>
    </row>
    <row r="155" spans="1:4" x14ac:dyDescent="0.25">
      <c r="A155" s="32" t="s">
        <v>3</v>
      </c>
      <c r="B155" s="32"/>
      <c r="C155" s="32"/>
      <c r="D155" s="22">
        <f>(10+D133)/10*100</f>
        <v>100</v>
      </c>
    </row>
  </sheetData>
  <mergeCells count="39">
    <mergeCell ref="B2:B3"/>
    <mergeCell ref="D2:D3"/>
    <mergeCell ref="A102:C102"/>
    <mergeCell ref="C2:C3"/>
    <mergeCell ref="A10:B10"/>
    <mergeCell ref="A11:C11"/>
    <mergeCell ref="A18:C18"/>
    <mergeCell ref="A21:C21"/>
    <mergeCell ref="A22:C22"/>
    <mergeCell ref="A27:C27"/>
    <mergeCell ref="A39:C39"/>
    <mergeCell ref="A46:C46"/>
    <mergeCell ref="A47:C47"/>
    <mergeCell ref="A71:C71"/>
    <mergeCell ref="A86:C86"/>
    <mergeCell ref="A55:C55"/>
    <mergeCell ref="A152:C152"/>
    <mergeCell ref="A147:B147"/>
    <mergeCell ref="A62:C62"/>
    <mergeCell ref="A66:C66"/>
    <mergeCell ref="A72:C72"/>
    <mergeCell ref="A76:C76"/>
    <mergeCell ref="A82:C82"/>
    <mergeCell ref="A87:C87"/>
    <mergeCell ref="A94:C94"/>
    <mergeCell ref="A103:C103"/>
    <mergeCell ref="A155:C155"/>
    <mergeCell ref="A124:C124"/>
    <mergeCell ref="A128:C128"/>
    <mergeCell ref="A133:C133"/>
    <mergeCell ref="A140:C140"/>
    <mergeCell ref="A143:C143"/>
    <mergeCell ref="A127:C127"/>
    <mergeCell ref="A153:C153"/>
    <mergeCell ref="A154:C154"/>
    <mergeCell ref="A148:C148"/>
    <mergeCell ref="A149:C149"/>
    <mergeCell ref="A150:C150"/>
    <mergeCell ref="A151:C151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3875-1378-480A-8D0A-F0B3F861FF28}">
  <dimension ref="A1:L25"/>
  <sheetViews>
    <sheetView zoomScaleNormal="100" workbookViewId="0">
      <selection activeCell="C2" sqref="C2"/>
    </sheetView>
  </sheetViews>
  <sheetFormatPr defaultColWidth="9.140625" defaultRowHeight="15" x14ac:dyDescent="0.25"/>
  <cols>
    <col min="1" max="12" width="41.7109375" style="2" customWidth="1"/>
    <col min="13" max="16384" width="9.140625" style="2"/>
  </cols>
  <sheetData>
    <row r="1" spans="1:12" ht="19.5" x14ac:dyDescent="0.25">
      <c r="A1" s="45" t="s">
        <v>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246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3" customForma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46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3" customForma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246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s="3" customForma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ht="246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 s="3" customFormat="1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 ht="246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s="3" customFormat="1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ht="246" customHeight="1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12" s="3" customForma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 ht="246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s="3" customForma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246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1:12" s="3" customForma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ht="246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s="3" customForma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ht="246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s="3" customForma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ht="246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s="3" customFormat="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 ht="246" customHeight="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s="3" customForma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</sheetData>
  <mergeCells count="1">
    <mergeCell ref="A1:L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AUDIT</vt:lpstr>
      <vt:lpstr>ATTACHMENT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 Jorma</cp:lastModifiedBy>
  <dcterms:created xsi:type="dcterms:W3CDTF">2025-02-10T04:54:01Z</dcterms:created>
  <dcterms:modified xsi:type="dcterms:W3CDTF">2026-05-27T23:10:13Z</dcterms:modified>
</cp:coreProperties>
</file>